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Detailed Timeline" sheetId="2" state="visible" r:id="rId4"/>
    <sheet name="Gantt Chart" sheetId="3" state="visible" r:id="rId5"/>
    <sheet name="Milestones" sheetId="4" state="visible" r:id="rId6"/>
    <sheet name="Improvemen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<sst xmlns="http://schemas.openxmlformats.org/spreadsheetml/2006/main" count="451" uniqueCount="261">
  <si>
    <t xml:space="preserve">PROJECT TIMELINE — WEBSITE COMPANY PROFILE</t>
  </si>
  <si>
    <t xml:space="preserve">PT. Kreasindo Graha Persada (KGP)</t>
  </si>
  <si>
    <t xml:space="preserve">Group 2 PPIDK — Fullstack Web Developer  |  Laravel 11 + Tailwind + Alpine.js</t>
  </si>
  <si>
    <t xml:space="preserve">Project Title</t>
  </si>
  <si>
    <t xml:space="preserve">Website Company Profile PT. Kreasindo Graha Persada</t>
  </si>
  <si>
    <t xml:space="preserve">Client / Mitra</t>
  </si>
  <si>
    <t xml:space="preserve">PT. Kreasindo Graha Persada</t>
  </si>
  <si>
    <t xml:space="preserve">Team</t>
  </si>
  <si>
    <t xml:space="preserve">Ikhlas Putra Pambagyo (UPN Veteran Jatim) · Yasir Rais Habibi (UPN Veteran Jakarta)</t>
  </si>
  <si>
    <t xml:space="preserve">Duration</t>
  </si>
  <si>
    <t xml:space="preserve">7 Weeks  (1 June 2026 – 19 July 2026)</t>
  </si>
  <si>
    <t xml:space="preserve">Team Size</t>
  </si>
  <si>
    <t xml:space="preserve">2 Developers</t>
  </si>
  <si>
    <t xml:space="preserve">Tech Stack</t>
  </si>
  <si>
    <t xml:space="preserve">Laravel 11 (PHP 8.3), Blade, Tailwind CSS, Alpine.js, MySQL, Vite</t>
  </si>
  <si>
    <t xml:space="preserve">AI Chatbot</t>
  </si>
  <si>
    <t xml:space="preserve">Hybrid 3-layer: FAQ DB → Gemini API → Grok API (fallback)</t>
  </si>
  <si>
    <t xml:space="preserve">Scope</t>
  </si>
  <si>
    <t xml:space="preserve">12 public pages + 1 admin panel (/kgp-panel/masuk), 13 DB tables</t>
  </si>
  <si>
    <t xml:space="preserve">Deployment</t>
  </si>
  <si>
    <t xml:space="preserve">VPS + Nginx + SSL</t>
  </si>
  <si>
    <t xml:space="preserve">PHASE SUMMARY</t>
  </si>
  <si>
    <t xml:space="preserve">Phase</t>
  </si>
  <si>
    <t xml:space="preserve">Weeks</t>
  </si>
  <si>
    <t xml:space="preserve">Start</t>
  </si>
  <si>
    <t xml:space="preserve">Finish</t>
  </si>
  <si>
    <t xml:space="preserve">Tasks</t>
  </si>
  <si>
    <t xml:space="preserve">Focus</t>
  </si>
  <si>
    <t xml:space="preserve">Fase 1 — Setup, Database &amp; Design</t>
  </si>
  <si>
    <t xml:space="preserve">M1–M2</t>
  </si>
  <si>
    <t xml:space="preserve">01 Jun 26</t>
  </si>
  <si>
    <t xml:space="preserve">14 Jun 26</t>
  </si>
  <si>
    <t xml:space="preserve">Requirements, ERD, UI/UX, Laravel setup</t>
  </si>
  <si>
    <t xml:space="preserve">Fase 2 — Halaman Publik</t>
  </si>
  <si>
    <t xml:space="preserve">M2–M4</t>
  </si>
  <si>
    <t xml:space="preserve">08 Jun 26</t>
  </si>
  <si>
    <t xml:space="preserve">28 Jun 26</t>
  </si>
  <si>
    <t xml:space="preserve">12 public Blade pages + portfolio filter</t>
  </si>
  <si>
    <t xml:space="preserve">Fase 3 — Panel Admin &amp; CMS</t>
  </si>
  <si>
    <t xml:space="preserve">M4–M6</t>
  </si>
  <si>
    <t xml:space="preserve">22 Jun 26</t>
  </si>
  <si>
    <t xml:space="preserve">12 Jul 26</t>
  </si>
  <si>
    <t xml:space="preserve">Admin CRUD all modules + AI chatbot</t>
  </si>
  <si>
    <t xml:space="preserve">Fase 4 — QA, Optimasi &amp; Go-Live</t>
  </si>
  <si>
    <t xml:space="preserve">M7</t>
  </si>
  <si>
    <t xml:space="preserve">13 Jul 26</t>
  </si>
  <si>
    <t xml:space="preserve">19 Jul 26</t>
  </si>
  <si>
    <t xml:space="preserve">Testing, SEO, security, deploy</t>
  </si>
  <si>
    <t xml:space="preserve">TOTAL</t>
  </si>
  <si>
    <t xml:space="preserve">7 Wk</t>
  </si>
  <si>
    <t xml:space="preserve">DETAILED PROJECT TIMELINE — TASK BREAKDOWN (WBS)</t>
  </si>
  <si>
    <t xml:space="preserve">ID</t>
  </si>
  <si>
    <t xml:space="preserve">Task / Sub-task</t>
  </si>
  <si>
    <t xml:space="preserve">Owner</t>
  </si>
  <si>
    <t xml:space="preserve">Days</t>
  </si>
  <si>
    <t xml:space="preserve">Depends</t>
  </si>
  <si>
    <t xml:space="preserve">Deliverable</t>
  </si>
  <si>
    <t xml:space="preserve">Status</t>
  </si>
  <si>
    <t xml:space="preserve">FASE 1 — SETUP, DATABASE &amp; DESIGN  (M1–M2)</t>
  </si>
  <si>
    <t xml:space="preserve">1.1</t>
  </si>
  <si>
    <t xml:space="preserve">F1</t>
  </si>
  <si>
    <t xml:space="preserve">Kick-off meeting &amp; requirement gathering with KGP</t>
  </si>
  <si>
    <t xml:space="preserve">Both</t>
  </si>
  <si>
    <t xml:space="preserve">-</t>
  </si>
  <si>
    <t xml:space="preserve">Meeting notes + scope sign-off</t>
  </si>
  <si>
    <t xml:space="preserve">Planned</t>
  </si>
  <si>
    <t xml:space="preserve">1.2</t>
  </si>
  <si>
    <t xml:space="preserve">Analisis kebutuhan + penyusunan SRS</t>
  </si>
  <si>
    <t xml:space="preserve">Yasir</t>
  </si>
  <si>
    <t xml:space="preserve">SRS document</t>
  </si>
  <si>
    <t xml:space="preserve">1.3</t>
  </si>
  <si>
    <t xml:space="preserve">Sitemap &amp; information architecture (12 pages)</t>
  </si>
  <si>
    <t xml:space="preserve">Sitemap diagram</t>
  </si>
  <si>
    <t xml:space="preserve">1.4</t>
  </si>
  <si>
    <t xml:space="preserve">Perancangan database &amp; ERD (13 tabel)</t>
  </si>
  <si>
    <t xml:space="preserve">Ikhlas</t>
  </si>
  <si>
    <t xml:space="preserve">ERD diagram</t>
  </si>
  <si>
    <t xml:space="preserve">1.5</t>
  </si>
  <si>
    <t xml:space="preserve">Laravel 11 setup, Git repo, Breeze, .env</t>
  </si>
  <si>
    <t xml:space="preserve">Base repo on GitHub</t>
  </si>
  <si>
    <t xml:space="preserve">1.6</t>
  </si>
  <si>
    <t xml:space="preserve">Migration + Seeder (37 proyek + master data)</t>
  </si>
  <si>
    <t xml:space="preserve">1.4,1.5</t>
  </si>
  <si>
    <t xml:space="preserve">Migrations + seeders</t>
  </si>
  <si>
    <t xml:space="preserve">1.7</t>
  </si>
  <si>
    <t xml:space="preserve">UI/UX wireframe &amp; corporate design system (Figma)</t>
  </si>
  <si>
    <t xml:space="preserve">Wireframes</t>
  </si>
  <si>
    <t xml:space="preserve">1.8</t>
  </si>
  <si>
    <t xml:space="preserve">High-fidelity mockup all pages + client approval</t>
  </si>
  <si>
    <t xml:space="preserve">Approved Figma mockup</t>
  </si>
  <si>
    <t xml:space="preserve">1.9</t>
  </si>
  <si>
    <t xml:space="preserve">Layout Blade master + Tailwind + Alpine.js base</t>
  </si>
  <si>
    <t xml:space="preserve">Master layout</t>
  </si>
  <si>
    <t xml:space="preserve">FASE 2 — HALAMAN PUBLIK  (M2–M4)</t>
  </si>
  <si>
    <t xml:space="preserve">2.1</t>
  </si>
  <si>
    <t xml:space="preserve">F2</t>
  </si>
  <si>
    <t xml:space="preserve">Halaman Beranda (hero, counter 37+, featured)</t>
  </si>
  <si>
    <t xml:space="preserve">1.8,1.9</t>
  </si>
  <si>
    <t xml:space="preserve">Beranda live (staging)</t>
  </si>
  <si>
    <t xml:space="preserve">2.2</t>
  </si>
  <si>
    <t xml:space="preserve">Halaman Tentang Kami (visi-misi, struktur, legalitas)</t>
  </si>
  <si>
    <t xml:space="preserve">Tentang Kami page</t>
  </si>
  <si>
    <t xml:space="preserve">2.3</t>
  </si>
  <si>
    <t xml:space="preserve">Halaman Layanan IT &amp; Interior (per divisi)</t>
  </si>
  <si>
    <t xml:space="preserve">Layanan pages</t>
  </si>
  <si>
    <t xml:space="preserve">2.4</t>
  </si>
  <si>
    <t xml:space="preserve">Halaman Portofolio 37+ proyek + filter divisi</t>
  </si>
  <si>
    <t xml:space="preserve">1.6,2.2</t>
  </si>
  <si>
    <t xml:space="preserve">Portfolio + filter</t>
  </si>
  <si>
    <t xml:space="preserve">2.5</t>
  </si>
  <si>
    <t xml:space="preserve">Halaman Klien Kami (logo grid per kategori)</t>
  </si>
  <si>
    <t xml:space="preserve">Klien page</t>
  </si>
  <si>
    <t xml:space="preserve">2.6</t>
  </si>
  <si>
    <t xml:space="preserve">Halaman Galeri + Lightbox (Alpine.js)</t>
  </si>
  <si>
    <t xml:space="preserve">Galeri page</t>
  </si>
  <si>
    <t xml:space="preserve">2.7</t>
  </si>
  <si>
    <t xml:space="preserve">Halaman Berita &amp; Artikel (list + detail)</t>
  </si>
  <si>
    <t xml:space="preserve">Berita pages</t>
  </si>
  <si>
    <t xml:space="preserve">2.8</t>
  </si>
  <si>
    <t xml:space="preserve">Halaman Dokumen Legal (download PDF) + Karir + Kontak</t>
  </si>
  <si>
    <t xml:space="preserve">Dokumen/Karir/Kontak</t>
  </si>
  <si>
    <t xml:space="preserve">FASE 3 — PANEL ADMIN &amp; CMS  (M4–M6)</t>
  </si>
  <si>
    <t xml:space="preserve">3.1</t>
  </si>
  <si>
    <t xml:space="preserve">F3</t>
  </si>
  <si>
    <t xml:space="preserve">Login Admin /kgp-panel/masuk + Dashboard + Auth</t>
  </si>
  <si>
    <t xml:space="preserve">Secure admin login</t>
  </si>
  <si>
    <t xml:space="preserve">3.2</t>
  </si>
  <si>
    <t xml:space="preserve">Admin CRUD Layanan IT &amp; Interior</t>
  </si>
  <si>
    <t xml:space="preserve">Layanan CRUD</t>
  </si>
  <si>
    <t xml:space="preserve">3.3</t>
  </si>
  <si>
    <t xml:space="preserve">Admin CRUD Portofolio (multi-foto, featured)</t>
  </si>
  <si>
    <t xml:space="preserve">Portofolio CRUD</t>
  </si>
  <si>
    <t xml:space="preserve">3.4</t>
  </si>
  <si>
    <t xml:space="preserve">Admin CRUD Klien + Galeri + Album</t>
  </si>
  <si>
    <t xml:space="preserve">Klien/Galeri CRUD</t>
  </si>
  <si>
    <t xml:space="preserve">3.5</t>
  </si>
  <si>
    <t xml:space="preserve">Chatbot Hybrid: FAQ DB → Gemini API → Grok fallback</t>
  </si>
  <si>
    <t xml:space="preserve">Chatbot live</t>
  </si>
  <si>
    <t xml:space="preserve">3.6</t>
  </si>
  <si>
    <t xml:space="preserve">Widget Alpine.js + Admin CRUD FAQ &amp; Chat Log</t>
  </si>
  <si>
    <t xml:space="preserve">Chat widget + FAQ panel</t>
  </si>
  <si>
    <t xml:space="preserve">3.7</t>
  </si>
  <si>
    <t xml:space="preserve">Admin CRUD Berita + Dokumen + Karir + Pesan + Settings</t>
  </si>
  <si>
    <t xml:space="preserve">Remaining CRUD modules</t>
  </si>
  <si>
    <t xml:space="preserve">FASE 4 — QA, OPTIMASI &amp; GO-LIVE  (M7)</t>
  </si>
  <si>
    <t xml:space="preserve">4.1</t>
  </si>
  <si>
    <t xml:space="preserve">F4</t>
  </si>
  <si>
    <t xml:space="preserve">QA fungsional halaman publik</t>
  </si>
  <si>
    <t xml:space="preserve">Public QA report</t>
  </si>
  <si>
    <t xml:space="preserve">4.2</t>
  </si>
  <si>
    <t xml:space="preserve">QA panel admin + bug fixing</t>
  </si>
  <si>
    <t xml:space="preserve">Admin QA report</t>
  </si>
  <si>
    <t xml:space="preserve">4.3</t>
  </si>
  <si>
    <t xml:space="preserve">Optimasi: WebP, lazy-load, Vite bundle (PageSpeed ≥80)</t>
  </si>
  <si>
    <t xml:space="preserve">Perf score ≥80</t>
  </si>
  <si>
    <t xml:space="preserve">4.4</t>
  </si>
  <si>
    <t xml:space="preserve">SEO: meta tag, sitemap.xml, robots.txt</t>
  </si>
  <si>
    <t xml:space="preserve">SEO setup</t>
  </si>
  <si>
    <t xml:space="preserve">4.5</t>
  </si>
  <si>
    <t xml:space="preserve">Keamanan: HTTPS, throttle, session timeout, activity log</t>
  </si>
  <si>
    <t xml:space="preserve">Security hardening</t>
  </si>
  <si>
    <t xml:space="preserve">4.6</t>
  </si>
  <si>
    <t xml:space="preserve">Deploy VPS + Nginx + SSL + admin training + go-live</t>
  </si>
  <si>
    <t xml:space="preserve">4.3,4.4,4.5</t>
  </si>
  <si>
    <t xml:space="preserve">Live site + docs</t>
  </si>
  <si>
    <t xml:space="preserve">GANTT CHART — 7 WEEK SCHEDULE</t>
  </si>
  <si>
    <t xml:space="preserve">Task</t>
  </si>
  <si>
    <t xml:space="preserve">M1
1–7 Jun</t>
  </si>
  <si>
    <t xml:space="preserve">M2
8–14 Jun</t>
  </si>
  <si>
    <t xml:space="preserve">M3
15–21 Jun</t>
  </si>
  <si>
    <t xml:space="preserve">M4
22–28 Jun</t>
  </si>
  <si>
    <t xml:space="preserve">M5
29 Jun–5 Jul</t>
  </si>
  <si>
    <t xml:space="preserve">M6
6–12 Jul</t>
  </si>
  <si>
    <t xml:space="preserve">M7
13–19 Jul</t>
  </si>
  <si>
    <t xml:space="preserve">FASE 1 — SETUP, DATABASE &amp; DESIGN</t>
  </si>
  <si>
    <t xml:space="preserve">Kick-off &amp; requirement gathering</t>
  </si>
  <si>
    <t xml:space="preserve">Analisis kebutuhan + SRS</t>
  </si>
  <si>
    <t xml:space="preserve">Sitemap &amp; IA</t>
  </si>
  <si>
    <t xml:space="preserve">Database design &amp; ERD</t>
  </si>
  <si>
    <t xml:space="preserve">Laravel setup, Git, Breeze</t>
  </si>
  <si>
    <t xml:space="preserve">Migration + Seeder (37 proyek)</t>
  </si>
  <si>
    <t xml:space="preserve">UI/UX wireframe (Figma)</t>
  </si>
  <si>
    <t xml:space="preserve">Hi-fi mockup + client approval</t>
  </si>
  <si>
    <t xml:space="preserve">Master layout Blade+Tailwind+Alpine</t>
  </si>
  <si>
    <t xml:space="preserve">FASE 2 — HALAMAN PUBLIK</t>
  </si>
  <si>
    <t xml:space="preserve">Beranda + Tentang Kami</t>
  </si>
  <si>
    <t xml:space="preserve">Layanan IT &amp; Interior</t>
  </si>
  <si>
    <t xml:space="preserve">Portofolio 37+ + filter</t>
  </si>
  <si>
    <t xml:space="preserve">Klien Kami</t>
  </si>
  <si>
    <t xml:space="preserve">Galeri + Lightbox</t>
  </si>
  <si>
    <t xml:space="preserve">Berita &amp; Artikel</t>
  </si>
  <si>
    <t xml:space="preserve">Dokumen Legal + Karir + Kontak</t>
  </si>
  <si>
    <t xml:space="preserve">FASE 3 — PANEL ADMIN &amp; CMS</t>
  </si>
  <si>
    <t xml:space="preserve">Login admin + Dashboard</t>
  </si>
  <si>
    <t xml:space="preserve">CRUD Layanan</t>
  </si>
  <si>
    <t xml:space="preserve">CRUD Portofolio (multi-foto)</t>
  </si>
  <si>
    <t xml:space="preserve">CRUD Klien + Galeri</t>
  </si>
  <si>
    <t xml:space="preserve">Chatbot Hybrid (FAQ→Gemini→Grok)</t>
  </si>
  <si>
    <t xml:space="preserve">Widget + CRUD FAQ &amp; Log</t>
  </si>
  <si>
    <t xml:space="preserve">CRUD Berita+Dokumen+Karir+Settings</t>
  </si>
  <si>
    <t xml:space="preserve">FASE 4 — QA, OPTIMASI &amp; GO-LIVE</t>
  </si>
  <si>
    <t xml:space="preserve">QA halaman publik</t>
  </si>
  <si>
    <t xml:space="preserve">QA admin + bug fixing</t>
  </si>
  <si>
    <t xml:space="preserve">Optimasi performa (PageSpeed≥80)</t>
  </si>
  <si>
    <t xml:space="preserve">Keamanan / hardening</t>
  </si>
  <si>
    <t xml:space="preserve">Deploy VPS+SSL + Training + Go-Live</t>
  </si>
  <si>
    <t xml:space="preserve">Legend:</t>
  </si>
  <si>
    <t xml:space="preserve">Fase 1</t>
  </si>
  <si>
    <t xml:space="preserve">Fase 2</t>
  </si>
  <si>
    <t xml:space="preserve">Fase 3</t>
  </si>
  <si>
    <t xml:space="preserve">Fase 4</t>
  </si>
  <si>
    <t xml:space="preserve">KEY MILESTONES &amp; DELIVERABLES</t>
  </si>
  <si>
    <t xml:space="preserve">#</t>
  </si>
  <si>
    <t xml:space="preserve">Milestone</t>
  </si>
  <si>
    <t xml:space="preserve">Target Date</t>
  </si>
  <si>
    <t xml:space="preserve">Acceptance Criteria</t>
  </si>
  <si>
    <t xml:space="preserve">SRS + Sitemap + ERD approved</t>
  </si>
  <si>
    <t xml:space="preserve">07 Jun 2026</t>
  </si>
  <si>
    <t xml:space="preserve">Dokumen SRS, sitemap &amp; ERD disetujui klien</t>
  </si>
  <si>
    <t xml:space="preserve">Pending</t>
  </si>
  <si>
    <t xml:space="preserve">UI/UX mockup approved</t>
  </si>
  <si>
    <t xml:space="preserve">14 Jun 2026</t>
  </si>
  <si>
    <t xml:space="preserve">Mockup Figma semua halaman disetujui klien</t>
  </si>
  <si>
    <t xml:space="preserve">12 public pages live on staging</t>
  </si>
  <si>
    <t xml:space="preserve">28 Jun 2026</t>
  </si>
  <si>
    <t xml:space="preserve">Semua halaman publik tampil &amp; responsif</t>
  </si>
  <si>
    <t xml:space="preserve">Admin panel functional</t>
  </si>
  <si>
    <t xml:space="preserve">12 Jul 2026</t>
  </si>
  <si>
    <t xml:space="preserve">CRUD semua modul + keamanan berlapis berfungsi</t>
  </si>
  <si>
    <t xml:space="preserve">Chatbot AI hybrid live</t>
  </si>
  <si>
    <t xml:space="preserve">FAQ→Gemini→Grok menjawab + panel FAQ admin</t>
  </si>
  <si>
    <t xml:space="preserve">QA passed, PageSpeed ≥ 80</t>
  </si>
  <si>
    <t xml:space="preserve">19 Jul 2026</t>
  </si>
  <si>
    <t xml:space="preserve">Zero blocking bug + skor PageSpeed ≥ 80</t>
  </si>
  <si>
    <t xml:space="preserve">Go-Live &amp; handover</t>
  </si>
  <si>
    <t xml:space="preserve">Website live di domain + SSL + training + dokumentasi</t>
  </si>
  <si>
    <t xml:space="preserve">DETAIL IMPROVEMENTS — ENHANCEMENTS BEYOND BASE PLAN</t>
  </si>
  <si>
    <t xml:space="preserve">Area</t>
  </si>
  <si>
    <t xml:space="preserve">Improvement / Refinement</t>
  </si>
  <si>
    <t xml:space="preserve">Priority</t>
  </si>
  <si>
    <t xml:space="preserve">WBS Granularity</t>
  </si>
  <si>
    <t xml:space="preserve">Setiap fase dipecah menjadi sub-task dengan ID, owner, dependency &amp; deliverable</t>
  </si>
  <si>
    <t xml:space="preserve">High</t>
  </si>
  <si>
    <t xml:space="preserve">Dependency Mapping</t>
  </si>
  <si>
    <t xml:space="preserve">Kolom 'Depends' menetapkan urutan kerja agar tidak ada task tumpang tindih</t>
  </si>
  <si>
    <t xml:space="preserve">Owner Assignment</t>
  </si>
  <si>
    <t xml:space="preserve">Pembagian beban kerja eksplisit antar 2 developer (Ikhlas / Yasir / Both)</t>
  </si>
  <si>
    <t xml:space="preserve">Buffer &amp; Overlap</t>
  </si>
  <si>
    <t xml:space="preserve">Fase 2 &amp; 3 dibuat overlap (M4) untuk efisiensi tim 2 orang</t>
  </si>
  <si>
    <t xml:space="preserve">Medium</t>
  </si>
  <si>
    <t xml:space="preserve">Chatbot Risk</t>
  </si>
  <si>
    <t xml:space="preserve">Chatbot dialokasikan 6 hari (M5–M6) karena integrasi 3-lapis paling berisiko</t>
  </si>
  <si>
    <t xml:space="preserve">Tiap milestone diberi kriteria penerimaan terukur (mis. PageSpeed ≥ 80)</t>
  </si>
  <si>
    <t xml:space="preserve">Client Approval Gate</t>
  </si>
  <si>
    <t xml:space="preserve">Approval mockup (M2) jadi gate sebelum masuk pengembangan frontend</t>
  </si>
  <si>
    <t xml:space="preserve">Status Tracking</t>
  </si>
  <si>
    <t xml:space="preserve">Kolom Status (Planned/In-Progress/Done) untuk monitoring mingguan</t>
  </si>
  <si>
    <t xml:space="preserve">Security Track</t>
  </si>
  <si>
    <t xml:space="preserve">QA keamanan dipisah (throttle, session timeout, HTTPS, activity log)</t>
  </si>
  <si>
    <t xml:space="preserve">Day-level Estimates</t>
  </si>
  <si>
    <t xml:space="preserve">Estimasi durasi per task dalam hari (kolom Days) untuk kontrol jadwal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</si>
</sst>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dd\ mmm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sz val="12"/>
      <color rgb="FF2E5496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4472C4"/>
      <name val="Arial"/>
      <family val="0"/>
      <charset val="1"/>
    </font>
    <font>
      <b val="true"/>
      <sz val="9"/>
      <color rgb="FFBF8F00"/>
      <name val="Arial"/>
      <family val="0"/>
      <charset val="1"/>
    </font>
    <font>
      <b val="true"/>
      <sz val="10"/>
      <color rgb="FF70AD47"/>
      <name val="Arial"/>
      <family val="0"/>
      <charset val="1"/>
    </font>
    <font>
      <b val="true"/>
      <sz val="10"/>
      <color rgb="FFED7D31"/>
      <name val="Arial"/>
      <family val="0"/>
      <charset val="1"/>
    </font>
    <font>
      <b val="true"/>
      <sz val="10"/>
      <color rgb="FFFFC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C0000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1F3864"/>
        <bgColor rgb="FF333333"/>
      </patternFill>
    </fill>
    <fill>
      <patternFill patternType="solid">
        <fgColor rgb="FF4472C4"/>
        <bgColor rgb="FF2E5496"/>
      </patternFill>
    </fill>
    <fill>
      <patternFill patternType="solid">
        <fgColor rgb="FF70AD47"/>
        <bgColor rgb="FF548235"/>
      </patternFill>
    </fill>
    <fill>
      <patternFill patternType="solid">
        <fgColor rgb="FFED7D31"/>
        <bgColor rgb="FFFF8080"/>
      </patternFill>
    </fill>
    <fill>
      <patternFill patternType="solid">
        <fgColor rgb="FFFFC000"/>
        <bgColor rgb="FFFFFF00"/>
      </patternFill>
    </fill>
    <fill>
      <patternFill patternType="solid">
        <fgColor rgb="FF2E5496"/>
        <bgColor rgb="FF1F3864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548235"/>
        <bgColor rgb="FF339966"/>
      </patternFill>
    </fill>
    <fill>
      <patternFill patternType="solid">
        <fgColor rgb="FFE2EFD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BF8F00"/>
      <rgbColor rgb="FFED7D31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6" min="4" style="0" width="18"/>
    <col collapsed="false" customWidth="true" hidden="false" outlineLevel="0" max="7" min="7" style="0" width="22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5" hidden="false" customHeight="true" outlineLevel="0" collapsed="false">
      <c r="B6" s="4" t="s">
        <v>3</v>
      </c>
      <c r="C6" s="5" t="s">
        <v>4</v>
      </c>
      <c r="D6" s="5"/>
      <c r="E6" s="5"/>
      <c r="F6" s="5"/>
      <c r="G6" s="5"/>
    </row>
    <row r="7" customFormat="false" ht="15" hidden="false" customHeight="true" outlineLevel="0" collapsed="false">
      <c r="B7" s="4" t="s">
        <v>5</v>
      </c>
      <c r="C7" s="5" t="s">
        <v>6</v>
      </c>
      <c r="D7" s="5"/>
      <c r="E7" s="5"/>
      <c r="F7" s="5"/>
      <c r="G7" s="5"/>
    </row>
    <row r="8" customFormat="false" ht="15" hidden="false" customHeight="true" outlineLevel="0" collapsed="false">
      <c r="B8" s="4" t="s">
        <v>7</v>
      </c>
      <c r="C8" s="5" t="s">
        <v>8</v>
      </c>
      <c r="D8" s="5"/>
      <c r="E8" s="5"/>
      <c r="F8" s="5"/>
      <c r="G8" s="5"/>
    </row>
    <row r="9" customFormat="false" ht="15" hidden="false" customHeight="true" outlineLevel="0" collapsed="false">
      <c r="B9" s="4" t="s">
        <v>9</v>
      </c>
      <c r="C9" s="5" t="s">
        <v>10</v>
      </c>
      <c r="D9" s="5"/>
      <c r="E9" s="5"/>
      <c r="F9" s="5"/>
      <c r="G9" s="5"/>
    </row>
    <row r="10" customFormat="false" ht="15" hidden="false" customHeight="true" outlineLevel="0" collapsed="false">
      <c r="B10" s="4" t="s">
        <v>11</v>
      </c>
      <c r="C10" s="5" t="s">
        <v>12</v>
      </c>
      <c r="D10" s="5"/>
      <c r="E10" s="5"/>
      <c r="F10" s="5"/>
      <c r="G10" s="5"/>
    </row>
    <row r="11" customFormat="false" ht="15" hidden="false" customHeight="true" outlineLevel="0" collapsed="false">
      <c r="B11" s="4" t="s">
        <v>13</v>
      </c>
      <c r="C11" s="5" t="s">
        <v>14</v>
      </c>
      <c r="D11" s="5"/>
      <c r="E11" s="5"/>
      <c r="F11" s="5"/>
      <c r="G11" s="5"/>
    </row>
    <row r="12" customFormat="false" ht="15" hidden="false" customHeight="true" outlineLevel="0" collapsed="false">
      <c r="B12" s="4" t="s">
        <v>15</v>
      </c>
      <c r="C12" s="5" t="s">
        <v>16</v>
      </c>
      <c r="D12" s="5"/>
      <c r="E12" s="5"/>
      <c r="F12" s="5"/>
      <c r="G12" s="5"/>
    </row>
    <row r="13" customFormat="false" ht="15" hidden="false" customHeight="true" outlineLevel="0" collapsed="false">
      <c r="B13" s="4" t="s">
        <v>17</v>
      </c>
      <c r="C13" s="5" t="s">
        <v>18</v>
      </c>
      <c r="D13" s="5"/>
      <c r="E13" s="5"/>
      <c r="F13" s="5"/>
      <c r="G13" s="5"/>
    </row>
    <row r="14" customFormat="false" ht="15" hidden="false" customHeight="true" outlineLevel="0" collapsed="false">
      <c r="B14" s="4" t="s">
        <v>19</v>
      </c>
      <c r="C14" s="5" t="s">
        <v>20</v>
      </c>
      <c r="D14" s="5"/>
      <c r="E14" s="5"/>
      <c r="F14" s="5"/>
      <c r="G14" s="5"/>
    </row>
    <row r="16" customFormat="false" ht="15" hidden="false" customHeight="false" outlineLevel="0" collapsed="false">
      <c r="B16" s="6" t="s">
        <v>21</v>
      </c>
    </row>
    <row r="17" customFormat="false" ht="15" hidden="false" customHeight="false" outlineLevel="0" collapsed="false">
      <c r="B17" s="7" t="s">
        <v>22</v>
      </c>
      <c r="C17" s="7" t="s">
        <v>23</v>
      </c>
      <c r="D17" s="7" t="s">
        <v>24</v>
      </c>
      <c r="E17" s="7" t="s">
        <v>25</v>
      </c>
      <c r="F17" s="7" t="s">
        <v>26</v>
      </c>
      <c r="G17" s="7" t="s">
        <v>27</v>
      </c>
    </row>
    <row r="18" customFormat="false" ht="23.85" hidden="false" customHeight="false" outlineLevel="0" collapsed="false">
      <c r="B18" s="8" t="s">
        <v>28</v>
      </c>
      <c r="C18" s="9" t="s">
        <v>29</v>
      </c>
      <c r="D18" s="9" t="s">
        <v>30</v>
      </c>
      <c r="E18" s="9" t="s">
        <v>31</v>
      </c>
      <c r="F18" s="9" t="n">
        <v>5</v>
      </c>
      <c r="G18" s="5" t="s">
        <v>32</v>
      </c>
    </row>
    <row r="19" customFormat="false" ht="23.85" hidden="false" customHeight="false" outlineLevel="0" collapsed="false">
      <c r="B19" s="10" t="s">
        <v>33</v>
      </c>
      <c r="C19" s="9" t="s">
        <v>34</v>
      </c>
      <c r="D19" s="9" t="s">
        <v>35</v>
      </c>
      <c r="E19" s="9" t="s">
        <v>36</v>
      </c>
      <c r="F19" s="9" t="n">
        <v>8</v>
      </c>
      <c r="G19" s="5" t="s">
        <v>37</v>
      </c>
    </row>
    <row r="20" customFormat="false" ht="23.85" hidden="false" customHeight="false" outlineLevel="0" collapsed="false">
      <c r="B20" s="11" t="s">
        <v>38</v>
      </c>
      <c r="C20" s="9" t="s">
        <v>39</v>
      </c>
      <c r="D20" s="9" t="s">
        <v>40</v>
      </c>
      <c r="E20" s="9" t="s">
        <v>41</v>
      </c>
      <c r="F20" s="9" t="n">
        <v>7</v>
      </c>
      <c r="G20" s="5" t="s">
        <v>42</v>
      </c>
    </row>
    <row r="21" customFormat="false" ht="23.85" hidden="false" customHeight="false" outlineLevel="0" collapsed="false">
      <c r="B21" s="12" t="s">
        <v>43</v>
      </c>
      <c r="C21" s="9" t="s">
        <v>44</v>
      </c>
      <c r="D21" s="9" t="s">
        <v>45</v>
      </c>
      <c r="E21" s="9" t="s">
        <v>46</v>
      </c>
      <c r="F21" s="9" t="n">
        <v>6</v>
      </c>
      <c r="G21" s="5" t="s">
        <v>47</v>
      </c>
    </row>
    <row r="22" customFormat="false" ht="15" hidden="false" customHeight="false" outlineLevel="0" collapsed="false">
      <c r="B22" s="13" t="s">
        <v>48</v>
      </c>
      <c r="C22" s="14" t="s">
        <v>49</v>
      </c>
      <c r="D22" s="14"/>
      <c r="E22" s="14"/>
      <c r="F22" s="15" t="n">
        <f aca="false">SUM(F18:F21)</f>
        <v>26</v>
      </c>
      <c r="G22" s="14"/>
    </row>
  </sheetData>
  <mergeCells count="9">
    <mergeCell ref="C6:G6"/>
    <mergeCell ref="C7:G7"/>
    <mergeCell ref="C8:G8"/>
    <mergeCell ref="C9:G9"/>
    <mergeCell ref="C10:G10"/>
    <mergeCell ref="C11:G11"/>
    <mergeCell ref="C12:G12"/>
    <mergeCell ref="C13:G13"/>
    <mergeCell ref="C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42"/>
    <col collapsed="false" customWidth="true" hidden="false" outlineLevel="0" max="4" min="4" style="0" width="14"/>
    <col collapsed="false" customWidth="true" hidden="false" outlineLevel="0" max="6" min="5" style="0" width="11"/>
    <col collapsed="false" customWidth="true" hidden="false" outlineLevel="0" max="7" min="7" style="0" width="6"/>
    <col collapsed="false" customWidth="true" hidden="false" outlineLevel="0" max="8" min="8" style="0" width="10"/>
    <col collapsed="false" customWidth="true" hidden="false" outlineLevel="0" max="9" min="9" style="0" width="34"/>
    <col collapsed="false" customWidth="true" hidden="false" outlineLevel="0" max="10" min="10" style="0" width="12"/>
  </cols>
  <sheetData>
    <row r="1" customFormat="false" ht="25.5" hidden="false" customHeight="true" outlineLevel="0" collapsed="false">
      <c r="A1" s="16" t="s">
        <v>50</v>
      </c>
      <c r="B1" s="16"/>
      <c r="C1" s="16"/>
      <c r="D1" s="16"/>
      <c r="E1" s="16"/>
      <c r="F1" s="16"/>
      <c r="G1" s="16"/>
      <c r="H1" s="16"/>
      <c r="I1" s="16"/>
      <c r="J1" s="16"/>
    </row>
    <row r="2" customFormat="false" ht="19.5" hidden="false" customHeight="true" outlineLevel="0" collapsed="false">
      <c r="A2" s="17" t="s">
        <v>51</v>
      </c>
      <c r="B2" s="17" t="s">
        <v>22</v>
      </c>
      <c r="C2" s="17" t="s">
        <v>52</v>
      </c>
      <c r="D2" s="17" t="s">
        <v>53</v>
      </c>
      <c r="E2" s="17" t="s">
        <v>24</v>
      </c>
      <c r="F2" s="17" t="s">
        <v>25</v>
      </c>
      <c r="G2" s="17" t="s">
        <v>54</v>
      </c>
      <c r="H2" s="17" t="s">
        <v>55</v>
      </c>
      <c r="I2" s="17" t="s">
        <v>56</v>
      </c>
      <c r="J2" s="17" t="s">
        <v>57</v>
      </c>
    </row>
    <row r="3" customFormat="false" ht="18" hidden="false" customHeight="true" outlineLevel="0" collapsed="false">
      <c r="A3" s="18" t="s">
        <v>58</v>
      </c>
      <c r="B3" s="18"/>
      <c r="C3" s="18"/>
      <c r="D3" s="18"/>
      <c r="E3" s="18"/>
      <c r="F3" s="18"/>
      <c r="G3" s="18"/>
      <c r="H3" s="18"/>
      <c r="I3" s="18"/>
      <c r="J3" s="18"/>
    </row>
    <row r="4" customFormat="false" ht="15" hidden="false" customHeight="false" outlineLevel="0" collapsed="false">
      <c r="A4" s="19" t="s">
        <v>59</v>
      </c>
      <c r="B4" s="20" t="s">
        <v>60</v>
      </c>
      <c r="C4" s="21" t="s">
        <v>61</v>
      </c>
      <c r="D4" s="19" t="s">
        <v>62</v>
      </c>
      <c r="E4" s="22" t="n">
        <v>46174</v>
      </c>
      <c r="F4" s="22" t="n">
        <v>46175</v>
      </c>
      <c r="G4" s="19" t="n">
        <f aca="false">F4-E4+1</f>
        <v>2</v>
      </c>
      <c r="H4" s="19" t="s">
        <v>63</v>
      </c>
      <c r="I4" s="21" t="s">
        <v>64</v>
      </c>
      <c r="J4" s="23" t="s">
        <v>65</v>
      </c>
    </row>
    <row r="5" customFormat="false" ht="15" hidden="false" customHeight="false" outlineLevel="0" collapsed="false">
      <c r="A5" s="24" t="s">
        <v>66</v>
      </c>
      <c r="B5" s="25" t="s">
        <v>60</v>
      </c>
      <c r="C5" s="26" t="s">
        <v>67</v>
      </c>
      <c r="D5" s="24" t="s">
        <v>68</v>
      </c>
      <c r="E5" s="27" t="n">
        <v>46175</v>
      </c>
      <c r="F5" s="27" t="n">
        <v>46177</v>
      </c>
      <c r="G5" s="24" t="n">
        <f aca="false">F5-E5+1</f>
        <v>3</v>
      </c>
      <c r="H5" s="24" t="s">
        <v>59</v>
      </c>
      <c r="I5" s="26" t="s">
        <v>69</v>
      </c>
      <c r="J5" s="23" t="s">
        <v>65</v>
      </c>
    </row>
    <row r="6" customFormat="false" ht="15" hidden="false" customHeight="false" outlineLevel="0" collapsed="false">
      <c r="A6" s="19" t="s">
        <v>70</v>
      </c>
      <c r="B6" s="20" t="s">
        <v>60</v>
      </c>
      <c r="C6" s="21" t="s">
        <v>71</v>
      </c>
      <c r="D6" s="19" t="s">
        <v>68</v>
      </c>
      <c r="E6" s="22" t="n">
        <v>46176</v>
      </c>
      <c r="F6" s="22" t="n">
        <v>46177</v>
      </c>
      <c r="G6" s="19" t="n">
        <f aca="false">F6-E6+1</f>
        <v>2</v>
      </c>
      <c r="H6" s="19" t="s">
        <v>66</v>
      </c>
      <c r="I6" s="21" t="s">
        <v>72</v>
      </c>
      <c r="J6" s="23" t="s">
        <v>65</v>
      </c>
    </row>
    <row r="7" customFormat="false" ht="15" hidden="false" customHeight="false" outlineLevel="0" collapsed="false">
      <c r="A7" s="24" t="s">
        <v>73</v>
      </c>
      <c r="B7" s="25" t="s">
        <v>60</v>
      </c>
      <c r="C7" s="26" t="s">
        <v>74</v>
      </c>
      <c r="D7" s="24" t="s">
        <v>75</v>
      </c>
      <c r="E7" s="27" t="n">
        <v>46176</v>
      </c>
      <c r="F7" s="27" t="n">
        <v>46178</v>
      </c>
      <c r="G7" s="24" t="n">
        <f aca="false">F7-E7+1</f>
        <v>3</v>
      </c>
      <c r="H7" s="24" t="s">
        <v>66</v>
      </c>
      <c r="I7" s="26" t="s">
        <v>76</v>
      </c>
      <c r="J7" s="23" t="s">
        <v>65</v>
      </c>
    </row>
    <row r="8" customFormat="false" ht="15" hidden="false" customHeight="false" outlineLevel="0" collapsed="false">
      <c r="A8" s="19" t="s">
        <v>77</v>
      </c>
      <c r="B8" s="20" t="s">
        <v>60</v>
      </c>
      <c r="C8" s="21" t="s">
        <v>78</v>
      </c>
      <c r="D8" s="19" t="s">
        <v>75</v>
      </c>
      <c r="E8" s="22" t="n">
        <v>46177</v>
      </c>
      <c r="F8" s="22" t="n">
        <v>46178</v>
      </c>
      <c r="G8" s="19" t="n">
        <f aca="false">F8-E8+1</f>
        <v>2</v>
      </c>
      <c r="H8" s="19" t="s">
        <v>63</v>
      </c>
      <c r="I8" s="21" t="s">
        <v>79</v>
      </c>
      <c r="J8" s="23" t="s">
        <v>65</v>
      </c>
    </row>
    <row r="9" customFormat="false" ht="15" hidden="false" customHeight="false" outlineLevel="0" collapsed="false">
      <c r="A9" s="24" t="s">
        <v>80</v>
      </c>
      <c r="B9" s="25" t="s">
        <v>60</v>
      </c>
      <c r="C9" s="26" t="s">
        <v>81</v>
      </c>
      <c r="D9" s="24" t="s">
        <v>75</v>
      </c>
      <c r="E9" s="27" t="n">
        <v>46178</v>
      </c>
      <c r="F9" s="27" t="n">
        <v>46180</v>
      </c>
      <c r="G9" s="24" t="n">
        <f aca="false">F9-E9+1</f>
        <v>3</v>
      </c>
      <c r="H9" s="24" t="s">
        <v>82</v>
      </c>
      <c r="I9" s="26" t="s">
        <v>83</v>
      </c>
      <c r="J9" s="23" t="s">
        <v>65</v>
      </c>
    </row>
    <row r="10" customFormat="false" ht="23.85" hidden="false" customHeight="false" outlineLevel="0" collapsed="false">
      <c r="A10" s="19" t="s">
        <v>84</v>
      </c>
      <c r="B10" s="20" t="s">
        <v>60</v>
      </c>
      <c r="C10" s="21" t="s">
        <v>85</v>
      </c>
      <c r="D10" s="19" t="s">
        <v>68</v>
      </c>
      <c r="E10" s="22" t="n">
        <v>46179</v>
      </c>
      <c r="F10" s="22" t="n">
        <v>46183</v>
      </c>
      <c r="G10" s="19" t="n">
        <f aca="false">F10-E10+1</f>
        <v>5</v>
      </c>
      <c r="H10" s="19" t="s">
        <v>70</v>
      </c>
      <c r="I10" s="21" t="s">
        <v>86</v>
      </c>
      <c r="J10" s="23" t="s">
        <v>65</v>
      </c>
    </row>
    <row r="11" customFormat="false" ht="15" hidden="false" customHeight="false" outlineLevel="0" collapsed="false">
      <c r="A11" s="24" t="s">
        <v>87</v>
      </c>
      <c r="B11" s="25" t="s">
        <v>60</v>
      </c>
      <c r="C11" s="26" t="s">
        <v>88</v>
      </c>
      <c r="D11" s="24" t="s">
        <v>62</v>
      </c>
      <c r="E11" s="27" t="n">
        <v>46183</v>
      </c>
      <c r="F11" s="27" t="n">
        <v>46187</v>
      </c>
      <c r="G11" s="24" t="n">
        <f aca="false">F11-E11+1</f>
        <v>5</v>
      </c>
      <c r="H11" s="24" t="s">
        <v>84</v>
      </c>
      <c r="I11" s="26" t="s">
        <v>89</v>
      </c>
      <c r="J11" s="23" t="s">
        <v>65</v>
      </c>
    </row>
    <row r="12" customFormat="false" ht="15" hidden="false" customHeight="false" outlineLevel="0" collapsed="false">
      <c r="A12" s="19" t="s">
        <v>90</v>
      </c>
      <c r="B12" s="20" t="s">
        <v>60</v>
      </c>
      <c r="C12" s="21" t="s">
        <v>91</v>
      </c>
      <c r="D12" s="19" t="s">
        <v>75</v>
      </c>
      <c r="E12" s="22" t="n">
        <v>46181</v>
      </c>
      <c r="F12" s="22" t="n">
        <v>46184</v>
      </c>
      <c r="G12" s="19" t="n">
        <f aca="false">F12-E12+1</f>
        <v>4</v>
      </c>
      <c r="H12" s="19" t="s">
        <v>77</v>
      </c>
      <c r="I12" s="21" t="s">
        <v>92</v>
      </c>
      <c r="J12" s="23" t="s">
        <v>65</v>
      </c>
    </row>
    <row r="13" customFormat="false" ht="18" hidden="false" customHeight="true" outlineLevel="0" collapsed="false">
      <c r="A13" s="28" t="s">
        <v>93</v>
      </c>
      <c r="B13" s="28"/>
      <c r="C13" s="28"/>
      <c r="D13" s="28"/>
      <c r="E13" s="28"/>
      <c r="F13" s="28"/>
      <c r="G13" s="28"/>
      <c r="H13" s="28"/>
      <c r="I13" s="28"/>
      <c r="J13" s="28"/>
    </row>
    <row r="14" customFormat="false" ht="15" hidden="false" customHeight="false" outlineLevel="0" collapsed="false">
      <c r="A14" s="19" t="s">
        <v>94</v>
      </c>
      <c r="B14" s="29" t="s">
        <v>95</v>
      </c>
      <c r="C14" s="21" t="s">
        <v>96</v>
      </c>
      <c r="D14" s="19" t="s">
        <v>75</v>
      </c>
      <c r="E14" s="22" t="n">
        <v>46187</v>
      </c>
      <c r="F14" s="22" t="n">
        <v>46190</v>
      </c>
      <c r="G14" s="19" t="n">
        <f aca="false">F14-E14+1</f>
        <v>4</v>
      </c>
      <c r="H14" s="19" t="s">
        <v>97</v>
      </c>
      <c r="I14" s="21" t="s">
        <v>98</v>
      </c>
      <c r="J14" s="23" t="s">
        <v>65</v>
      </c>
    </row>
    <row r="15" customFormat="false" ht="23.85" hidden="false" customHeight="false" outlineLevel="0" collapsed="false">
      <c r="A15" s="24" t="s">
        <v>99</v>
      </c>
      <c r="B15" s="30" t="s">
        <v>95</v>
      </c>
      <c r="C15" s="26" t="s">
        <v>100</v>
      </c>
      <c r="D15" s="24" t="s">
        <v>68</v>
      </c>
      <c r="E15" s="27" t="n">
        <v>46188</v>
      </c>
      <c r="F15" s="27" t="n">
        <v>46190</v>
      </c>
      <c r="G15" s="24" t="n">
        <f aca="false">F15-E15+1</f>
        <v>3</v>
      </c>
      <c r="H15" s="24" t="s">
        <v>87</v>
      </c>
      <c r="I15" s="26" t="s">
        <v>101</v>
      </c>
      <c r="J15" s="23" t="s">
        <v>65</v>
      </c>
    </row>
    <row r="16" customFormat="false" ht="15" hidden="false" customHeight="false" outlineLevel="0" collapsed="false">
      <c r="A16" s="19" t="s">
        <v>102</v>
      </c>
      <c r="B16" s="29" t="s">
        <v>95</v>
      </c>
      <c r="C16" s="21" t="s">
        <v>103</v>
      </c>
      <c r="D16" s="19" t="s">
        <v>75</v>
      </c>
      <c r="E16" s="22" t="n">
        <v>46190</v>
      </c>
      <c r="F16" s="22" t="n">
        <v>46192</v>
      </c>
      <c r="G16" s="19" t="n">
        <f aca="false">F16-E16+1</f>
        <v>3</v>
      </c>
      <c r="H16" s="19" t="s">
        <v>94</v>
      </c>
      <c r="I16" s="21" t="s">
        <v>104</v>
      </c>
      <c r="J16" s="23" t="s">
        <v>65</v>
      </c>
    </row>
    <row r="17" customFormat="false" ht="15" hidden="false" customHeight="false" outlineLevel="0" collapsed="false">
      <c r="A17" s="24" t="s">
        <v>105</v>
      </c>
      <c r="B17" s="30" t="s">
        <v>95</v>
      </c>
      <c r="C17" s="26" t="s">
        <v>106</v>
      </c>
      <c r="D17" s="24" t="s">
        <v>68</v>
      </c>
      <c r="E17" s="27" t="n">
        <v>46191</v>
      </c>
      <c r="F17" s="27" t="n">
        <v>46195</v>
      </c>
      <c r="G17" s="24" t="n">
        <f aca="false">F17-E17+1</f>
        <v>5</v>
      </c>
      <c r="H17" s="24" t="s">
        <v>107</v>
      </c>
      <c r="I17" s="26" t="s">
        <v>108</v>
      </c>
      <c r="J17" s="23" t="s">
        <v>65</v>
      </c>
    </row>
    <row r="18" customFormat="false" ht="15" hidden="false" customHeight="false" outlineLevel="0" collapsed="false">
      <c r="A18" s="19" t="s">
        <v>109</v>
      </c>
      <c r="B18" s="29" t="s">
        <v>95</v>
      </c>
      <c r="C18" s="21" t="s">
        <v>110</v>
      </c>
      <c r="D18" s="19" t="s">
        <v>75</v>
      </c>
      <c r="E18" s="22" t="n">
        <v>46193</v>
      </c>
      <c r="F18" s="22" t="n">
        <v>46195</v>
      </c>
      <c r="G18" s="19" t="n">
        <f aca="false">F18-E18+1</f>
        <v>3</v>
      </c>
      <c r="H18" s="19" t="s">
        <v>102</v>
      </c>
      <c r="I18" s="21" t="s">
        <v>111</v>
      </c>
      <c r="J18" s="23" t="s">
        <v>65</v>
      </c>
    </row>
    <row r="19" customFormat="false" ht="15" hidden="false" customHeight="false" outlineLevel="0" collapsed="false">
      <c r="A19" s="24" t="s">
        <v>112</v>
      </c>
      <c r="B19" s="30" t="s">
        <v>95</v>
      </c>
      <c r="C19" s="26" t="s">
        <v>113</v>
      </c>
      <c r="D19" s="24" t="s">
        <v>68</v>
      </c>
      <c r="E19" s="27" t="n">
        <v>46195</v>
      </c>
      <c r="F19" s="27" t="n">
        <v>46197</v>
      </c>
      <c r="G19" s="24" t="n">
        <f aca="false">F19-E19+1</f>
        <v>3</v>
      </c>
      <c r="H19" s="24" t="s">
        <v>105</v>
      </c>
      <c r="I19" s="26" t="s">
        <v>114</v>
      </c>
      <c r="J19" s="23" t="s">
        <v>65</v>
      </c>
    </row>
    <row r="20" customFormat="false" ht="15" hidden="false" customHeight="false" outlineLevel="0" collapsed="false">
      <c r="A20" s="19" t="s">
        <v>115</v>
      </c>
      <c r="B20" s="29" t="s">
        <v>95</v>
      </c>
      <c r="C20" s="21" t="s">
        <v>116</v>
      </c>
      <c r="D20" s="19" t="s">
        <v>75</v>
      </c>
      <c r="E20" s="22" t="n">
        <v>46196</v>
      </c>
      <c r="F20" s="22" t="n">
        <v>46198</v>
      </c>
      <c r="G20" s="19" t="n">
        <f aca="false">F20-E20+1</f>
        <v>3</v>
      </c>
      <c r="H20" s="19" t="s">
        <v>109</v>
      </c>
      <c r="I20" s="21" t="s">
        <v>117</v>
      </c>
      <c r="J20" s="23" t="s">
        <v>65</v>
      </c>
    </row>
    <row r="21" customFormat="false" ht="23.85" hidden="false" customHeight="false" outlineLevel="0" collapsed="false">
      <c r="A21" s="24" t="s">
        <v>118</v>
      </c>
      <c r="B21" s="30" t="s">
        <v>95</v>
      </c>
      <c r="C21" s="26" t="s">
        <v>119</v>
      </c>
      <c r="D21" s="24" t="s">
        <v>68</v>
      </c>
      <c r="E21" s="27" t="n">
        <v>46198</v>
      </c>
      <c r="F21" s="27" t="n">
        <v>46201</v>
      </c>
      <c r="G21" s="24" t="n">
        <f aca="false">F21-E21+1</f>
        <v>4</v>
      </c>
      <c r="H21" s="24" t="s">
        <v>112</v>
      </c>
      <c r="I21" s="26" t="s">
        <v>120</v>
      </c>
      <c r="J21" s="23" t="s">
        <v>65</v>
      </c>
    </row>
    <row r="22" customFormat="false" ht="18" hidden="false" customHeight="true" outlineLevel="0" collapsed="false">
      <c r="A22" s="31" t="s">
        <v>121</v>
      </c>
      <c r="B22" s="31"/>
      <c r="C22" s="31"/>
      <c r="D22" s="31"/>
      <c r="E22" s="31"/>
      <c r="F22" s="31"/>
      <c r="G22" s="31"/>
      <c r="H22" s="31"/>
      <c r="I22" s="31"/>
      <c r="J22" s="31"/>
    </row>
    <row r="23" customFormat="false" ht="23.85" hidden="false" customHeight="false" outlineLevel="0" collapsed="false">
      <c r="A23" s="24" t="s">
        <v>122</v>
      </c>
      <c r="B23" s="32" t="s">
        <v>123</v>
      </c>
      <c r="C23" s="26" t="s">
        <v>124</v>
      </c>
      <c r="D23" s="24" t="s">
        <v>75</v>
      </c>
      <c r="E23" s="27" t="n">
        <v>46195</v>
      </c>
      <c r="F23" s="27" t="n">
        <v>46198</v>
      </c>
      <c r="G23" s="24" t="n">
        <f aca="false">F23-E23+1</f>
        <v>4</v>
      </c>
      <c r="H23" s="24" t="s">
        <v>80</v>
      </c>
      <c r="I23" s="26" t="s">
        <v>125</v>
      </c>
      <c r="J23" s="23" t="s">
        <v>65</v>
      </c>
    </row>
    <row r="24" customFormat="false" ht="15" hidden="false" customHeight="false" outlineLevel="0" collapsed="false">
      <c r="A24" s="19" t="s">
        <v>126</v>
      </c>
      <c r="B24" s="33" t="s">
        <v>123</v>
      </c>
      <c r="C24" s="21" t="s">
        <v>127</v>
      </c>
      <c r="D24" s="19" t="s">
        <v>68</v>
      </c>
      <c r="E24" s="22" t="n">
        <v>46198</v>
      </c>
      <c r="F24" s="22" t="n">
        <v>46201</v>
      </c>
      <c r="G24" s="19" t="n">
        <f aca="false">F24-E24+1</f>
        <v>4</v>
      </c>
      <c r="H24" s="19" t="s">
        <v>122</v>
      </c>
      <c r="I24" s="21" t="s">
        <v>128</v>
      </c>
      <c r="J24" s="23" t="s">
        <v>65</v>
      </c>
    </row>
    <row r="25" customFormat="false" ht="15" hidden="false" customHeight="false" outlineLevel="0" collapsed="false">
      <c r="A25" s="24" t="s">
        <v>129</v>
      </c>
      <c r="B25" s="32" t="s">
        <v>123</v>
      </c>
      <c r="C25" s="26" t="s">
        <v>130</v>
      </c>
      <c r="D25" s="24" t="s">
        <v>75</v>
      </c>
      <c r="E25" s="27" t="n">
        <v>46201</v>
      </c>
      <c r="F25" s="27" t="n">
        <v>46205</v>
      </c>
      <c r="G25" s="24" t="n">
        <f aca="false">F25-E25+1</f>
        <v>5</v>
      </c>
      <c r="H25" s="24" t="s">
        <v>122</v>
      </c>
      <c r="I25" s="26" t="s">
        <v>131</v>
      </c>
      <c r="J25" s="23" t="s">
        <v>65</v>
      </c>
    </row>
    <row r="26" customFormat="false" ht="15" hidden="false" customHeight="false" outlineLevel="0" collapsed="false">
      <c r="A26" s="19" t="s">
        <v>132</v>
      </c>
      <c r="B26" s="33" t="s">
        <v>123</v>
      </c>
      <c r="C26" s="21" t="s">
        <v>133</v>
      </c>
      <c r="D26" s="19" t="s">
        <v>68</v>
      </c>
      <c r="E26" s="22" t="n">
        <v>46204</v>
      </c>
      <c r="F26" s="22" t="n">
        <v>46207</v>
      </c>
      <c r="G26" s="19" t="n">
        <f aca="false">F26-E26+1</f>
        <v>4</v>
      </c>
      <c r="H26" s="19" t="s">
        <v>126</v>
      </c>
      <c r="I26" s="21" t="s">
        <v>134</v>
      </c>
      <c r="J26" s="23" t="s">
        <v>65</v>
      </c>
    </row>
    <row r="27" customFormat="false" ht="23.85" hidden="false" customHeight="false" outlineLevel="0" collapsed="false">
      <c r="A27" s="24" t="s">
        <v>135</v>
      </c>
      <c r="B27" s="32" t="s">
        <v>123</v>
      </c>
      <c r="C27" s="26" t="s">
        <v>136</v>
      </c>
      <c r="D27" s="24" t="s">
        <v>62</v>
      </c>
      <c r="E27" s="27" t="n">
        <v>46205</v>
      </c>
      <c r="F27" s="27" t="n">
        <v>46212</v>
      </c>
      <c r="G27" s="24" t="n">
        <f aca="false">F27-E27+1</f>
        <v>8</v>
      </c>
      <c r="H27" s="24" t="s">
        <v>129</v>
      </c>
      <c r="I27" s="26" t="s">
        <v>137</v>
      </c>
      <c r="J27" s="23" t="s">
        <v>65</v>
      </c>
    </row>
    <row r="28" customFormat="false" ht="15" hidden="false" customHeight="false" outlineLevel="0" collapsed="false">
      <c r="A28" s="19" t="s">
        <v>138</v>
      </c>
      <c r="B28" s="33" t="s">
        <v>123</v>
      </c>
      <c r="C28" s="21" t="s">
        <v>139</v>
      </c>
      <c r="D28" s="19" t="s">
        <v>68</v>
      </c>
      <c r="E28" s="22" t="n">
        <v>46209</v>
      </c>
      <c r="F28" s="22" t="n">
        <v>46213</v>
      </c>
      <c r="G28" s="19" t="n">
        <f aca="false">F28-E28+1</f>
        <v>5</v>
      </c>
      <c r="H28" s="19" t="s">
        <v>135</v>
      </c>
      <c r="I28" s="21" t="s">
        <v>140</v>
      </c>
      <c r="J28" s="23" t="s">
        <v>65</v>
      </c>
    </row>
    <row r="29" customFormat="false" ht="23.85" hidden="false" customHeight="false" outlineLevel="0" collapsed="false">
      <c r="A29" s="24" t="s">
        <v>141</v>
      </c>
      <c r="B29" s="32" t="s">
        <v>123</v>
      </c>
      <c r="C29" s="26" t="s">
        <v>142</v>
      </c>
      <c r="D29" s="24" t="s">
        <v>75</v>
      </c>
      <c r="E29" s="27" t="n">
        <v>46211</v>
      </c>
      <c r="F29" s="27" t="n">
        <v>46215</v>
      </c>
      <c r="G29" s="24" t="n">
        <f aca="false">F29-E29+1</f>
        <v>5</v>
      </c>
      <c r="H29" s="24" t="s">
        <v>132</v>
      </c>
      <c r="I29" s="26" t="s">
        <v>143</v>
      </c>
      <c r="J29" s="23" t="s">
        <v>65</v>
      </c>
    </row>
    <row r="30" customFormat="false" ht="18" hidden="false" customHeight="true" outlineLevel="0" collapsed="false">
      <c r="A30" s="34" t="s">
        <v>144</v>
      </c>
      <c r="B30" s="34"/>
      <c r="C30" s="34"/>
      <c r="D30" s="34"/>
      <c r="E30" s="34"/>
      <c r="F30" s="34"/>
      <c r="G30" s="34"/>
      <c r="H30" s="34"/>
      <c r="I30" s="34"/>
      <c r="J30" s="34"/>
    </row>
    <row r="31" customFormat="false" ht="15" hidden="false" customHeight="false" outlineLevel="0" collapsed="false">
      <c r="A31" s="24" t="s">
        <v>145</v>
      </c>
      <c r="B31" s="35" t="s">
        <v>146</v>
      </c>
      <c r="C31" s="26" t="s">
        <v>147</v>
      </c>
      <c r="D31" s="24" t="s">
        <v>68</v>
      </c>
      <c r="E31" s="27" t="n">
        <v>46216</v>
      </c>
      <c r="F31" s="27" t="n">
        <v>46218</v>
      </c>
      <c r="G31" s="24" t="n">
        <f aca="false">F31-E31+1</f>
        <v>3</v>
      </c>
      <c r="H31" s="24" t="s">
        <v>141</v>
      </c>
      <c r="I31" s="26" t="s">
        <v>148</v>
      </c>
      <c r="J31" s="23" t="s">
        <v>65</v>
      </c>
    </row>
    <row r="32" customFormat="false" ht="15" hidden="false" customHeight="false" outlineLevel="0" collapsed="false">
      <c r="A32" s="19" t="s">
        <v>149</v>
      </c>
      <c r="B32" s="36" t="s">
        <v>146</v>
      </c>
      <c r="C32" s="21" t="s">
        <v>150</v>
      </c>
      <c r="D32" s="19" t="s">
        <v>75</v>
      </c>
      <c r="E32" s="22" t="n">
        <v>46216</v>
      </c>
      <c r="F32" s="22" t="n">
        <v>46219</v>
      </c>
      <c r="G32" s="19" t="n">
        <f aca="false">F32-E32+1</f>
        <v>4</v>
      </c>
      <c r="H32" s="19" t="s">
        <v>141</v>
      </c>
      <c r="I32" s="21" t="s">
        <v>151</v>
      </c>
      <c r="J32" s="23" t="s">
        <v>65</v>
      </c>
    </row>
    <row r="33" customFormat="false" ht="23.85" hidden="false" customHeight="false" outlineLevel="0" collapsed="false">
      <c r="A33" s="24" t="s">
        <v>152</v>
      </c>
      <c r="B33" s="35" t="s">
        <v>146</v>
      </c>
      <c r="C33" s="26" t="s">
        <v>153</v>
      </c>
      <c r="D33" s="24" t="s">
        <v>75</v>
      </c>
      <c r="E33" s="27" t="n">
        <v>46218</v>
      </c>
      <c r="F33" s="27" t="n">
        <v>46220</v>
      </c>
      <c r="G33" s="24" t="n">
        <f aca="false">F33-E33+1</f>
        <v>3</v>
      </c>
      <c r="H33" s="24" t="s">
        <v>145</v>
      </c>
      <c r="I33" s="26" t="s">
        <v>154</v>
      </c>
      <c r="J33" s="23" t="s">
        <v>65</v>
      </c>
    </row>
    <row r="34" customFormat="false" ht="15" hidden="false" customHeight="false" outlineLevel="0" collapsed="false">
      <c r="A34" s="19" t="s">
        <v>155</v>
      </c>
      <c r="B34" s="36" t="s">
        <v>146</v>
      </c>
      <c r="C34" s="21" t="s">
        <v>156</v>
      </c>
      <c r="D34" s="19" t="s">
        <v>68</v>
      </c>
      <c r="E34" s="22" t="n">
        <v>46219</v>
      </c>
      <c r="F34" s="22" t="n">
        <v>46220</v>
      </c>
      <c r="G34" s="19" t="n">
        <f aca="false">F34-E34+1</f>
        <v>2</v>
      </c>
      <c r="H34" s="19" t="s">
        <v>145</v>
      </c>
      <c r="I34" s="21" t="s">
        <v>157</v>
      </c>
      <c r="J34" s="23" t="s">
        <v>65</v>
      </c>
    </row>
    <row r="35" customFormat="false" ht="23.85" hidden="false" customHeight="false" outlineLevel="0" collapsed="false">
      <c r="A35" s="24" t="s">
        <v>158</v>
      </c>
      <c r="B35" s="35" t="s">
        <v>146</v>
      </c>
      <c r="C35" s="26" t="s">
        <v>159</v>
      </c>
      <c r="D35" s="24" t="s">
        <v>75</v>
      </c>
      <c r="E35" s="27" t="n">
        <v>46219</v>
      </c>
      <c r="F35" s="27" t="n">
        <v>46221</v>
      </c>
      <c r="G35" s="24" t="n">
        <f aca="false">F35-E35+1</f>
        <v>3</v>
      </c>
      <c r="H35" s="24" t="s">
        <v>149</v>
      </c>
      <c r="I35" s="26" t="s">
        <v>160</v>
      </c>
      <c r="J35" s="23" t="s">
        <v>65</v>
      </c>
    </row>
    <row r="36" customFormat="false" ht="23.85" hidden="false" customHeight="false" outlineLevel="0" collapsed="false">
      <c r="A36" s="19" t="s">
        <v>161</v>
      </c>
      <c r="B36" s="36" t="s">
        <v>146</v>
      </c>
      <c r="C36" s="21" t="s">
        <v>162</v>
      </c>
      <c r="D36" s="19" t="s">
        <v>62</v>
      </c>
      <c r="E36" s="22" t="n">
        <v>46221</v>
      </c>
      <c r="F36" s="22" t="n">
        <v>46222</v>
      </c>
      <c r="G36" s="19" t="n">
        <f aca="false">F36-E36+1</f>
        <v>2</v>
      </c>
      <c r="H36" s="19" t="s">
        <v>163</v>
      </c>
      <c r="I36" s="21" t="s">
        <v>164</v>
      </c>
      <c r="J36" s="23" t="s">
        <v>65</v>
      </c>
    </row>
  </sheetData>
  <mergeCells count="5">
    <mergeCell ref="A1:J1"/>
    <mergeCell ref="A3:J3"/>
    <mergeCell ref="A13:J13"/>
    <mergeCell ref="A22:J22"/>
    <mergeCell ref="A30:J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10" min="3" style="0" width="12"/>
  </cols>
  <sheetData>
    <row r="1" customFormat="false" ht="25.5" hidden="false" customHeight="true" outlineLevel="0" collapsed="false">
      <c r="A1" s="16" t="s">
        <v>165</v>
      </c>
      <c r="B1" s="16"/>
      <c r="C1" s="16"/>
      <c r="D1" s="16"/>
      <c r="E1" s="16"/>
      <c r="F1" s="16"/>
      <c r="G1" s="16"/>
      <c r="H1" s="16"/>
      <c r="I1" s="16"/>
      <c r="J1" s="16"/>
    </row>
    <row r="2" customFormat="false" ht="33.75" hidden="false" customHeight="true" outlineLevel="0" collapsed="false">
      <c r="A2" s="37" t="s">
        <v>51</v>
      </c>
      <c r="B2" s="37" t="s">
        <v>166</v>
      </c>
      <c r="C2" s="37" t="s">
        <v>53</v>
      </c>
      <c r="D2" s="37" t="s">
        <v>167</v>
      </c>
      <c r="E2" s="37" t="s">
        <v>168</v>
      </c>
      <c r="F2" s="37" t="s">
        <v>169</v>
      </c>
      <c r="G2" s="37" t="s">
        <v>170</v>
      </c>
      <c r="H2" s="37" t="s">
        <v>171</v>
      </c>
      <c r="I2" s="37" t="s">
        <v>172</v>
      </c>
      <c r="J2" s="37" t="s">
        <v>173</v>
      </c>
    </row>
    <row r="3" customFormat="false" ht="15.75" hidden="false" customHeight="true" outlineLevel="0" collapsed="false">
      <c r="A3" s="38" t="s">
        <v>174</v>
      </c>
      <c r="B3" s="38"/>
      <c r="C3" s="38"/>
      <c r="D3" s="38"/>
      <c r="E3" s="38"/>
      <c r="F3" s="38"/>
      <c r="G3" s="38"/>
      <c r="H3" s="38"/>
      <c r="I3" s="38"/>
      <c r="J3" s="38"/>
    </row>
    <row r="4" customFormat="false" ht="15" hidden="false" customHeight="false" outlineLevel="0" collapsed="false">
      <c r="A4" s="39" t="s">
        <v>59</v>
      </c>
      <c r="B4" s="40" t="s">
        <v>175</v>
      </c>
      <c r="C4" s="39" t="s">
        <v>62</v>
      </c>
      <c r="D4" s="41"/>
      <c r="E4" s="42"/>
      <c r="F4" s="42"/>
      <c r="G4" s="42"/>
      <c r="H4" s="42"/>
      <c r="I4" s="42"/>
      <c r="J4" s="42"/>
    </row>
    <row r="5" customFormat="false" ht="15" hidden="false" customHeight="false" outlineLevel="0" collapsed="false">
      <c r="A5" s="43" t="s">
        <v>66</v>
      </c>
      <c r="B5" s="44" t="s">
        <v>176</v>
      </c>
      <c r="C5" s="43" t="s">
        <v>68</v>
      </c>
      <c r="D5" s="41"/>
      <c r="E5" s="45"/>
      <c r="F5" s="45"/>
      <c r="G5" s="45"/>
      <c r="H5" s="45"/>
      <c r="I5" s="45"/>
      <c r="J5" s="45"/>
    </row>
    <row r="6" customFormat="false" ht="15" hidden="false" customHeight="false" outlineLevel="0" collapsed="false">
      <c r="A6" s="39" t="s">
        <v>70</v>
      </c>
      <c r="B6" s="40" t="s">
        <v>177</v>
      </c>
      <c r="C6" s="39" t="s">
        <v>68</v>
      </c>
      <c r="D6" s="41"/>
      <c r="E6" s="42"/>
      <c r="F6" s="42"/>
      <c r="G6" s="42"/>
      <c r="H6" s="42"/>
      <c r="I6" s="42"/>
      <c r="J6" s="42"/>
    </row>
    <row r="7" customFormat="false" ht="15" hidden="false" customHeight="false" outlineLevel="0" collapsed="false">
      <c r="A7" s="43" t="s">
        <v>73</v>
      </c>
      <c r="B7" s="44" t="s">
        <v>178</v>
      </c>
      <c r="C7" s="43" t="s">
        <v>75</v>
      </c>
      <c r="D7" s="41"/>
      <c r="E7" s="45"/>
      <c r="F7" s="45"/>
      <c r="G7" s="45"/>
      <c r="H7" s="45"/>
      <c r="I7" s="45"/>
      <c r="J7" s="45"/>
    </row>
    <row r="8" customFormat="false" ht="15" hidden="false" customHeight="false" outlineLevel="0" collapsed="false">
      <c r="A8" s="39" t="s">
        <v>77</v>
      </c>
      <c r="B8" s="40" t="s">
        <v>179</v>
      </c>
      <c r="C8" s="39" t="s">
        <v>75</v>
      </c>
      <c r="D8" s="41"/>
      <c r="E8" s="42"/>
      <c r="F8" s="42"/>
      <c r="G8" s="42"/>
      <c r="H8" s="42"/>
      <c r="I8" s="42"/>
      <c r="J8" s="42"/>
    </row>
    <row r="9" customFormat="false" ht="15" hidden="false" customHeight="false" outlineLevel="0" collapsed="false">
      <c r="A9" s="43" t="s">
        <v>80</v>
      </c>
      <c r="B9" s="44" t="s">
        <v>180</v>
      </c>
      <c r="C9" s="43" t="s">
        <v>75</v>
      </c>
      <c r="D9" s="41"/>
      <c r="E9" s="45"/>
      <c r="F9" s="45"/>
      <c r="G9" s="45"/>
      <c r="H9" s="45"/>
      <c r="I9" s="45"/>
      <c r="J9" s="45"/>
    </row>
    <row r="10" customFormat="false" ht="15" hidden="false" customHeight="false" outlineLevel="0" collapsed="false">
      <c r="A10" s="39" t="s">
        <v>84</v>
      </c>
      <c r="B10" s="40" t="s">
        <v>181</v>
      </c>
      <c r="C10" s="39" t="s">
        <v>68</v>
      </c>
      <c r="D10" s="41"/>
      <c r="E10" s="41"/>
      <c r="F10" s="42"/>
      <c r="G10" s="42"/>
      <c r="H10" s="42"/>
      <c r="I10" s="42"/>
      <c r="J10" s="42"/>
    </row>
    <row r="11" customFormat="false" ht="15" hidden="false" customHeight="false" outlineLevel="0" collapsed="false">
      <c r="A11" s="43" t="s">
        <v>87</v>
      </c>
      <c r="B11" s="44" t="s">
        <v>182</v>
      </c>
      <c r="C11" s="43" t="s">
        <v>62</v>
      </c>
      <c r="D11" s="45"/>
      <c r="E11" s="41"/>
      <c r="F11" s="45"/>
      <c r="G11" s="45"/>
      <c r="H11" s="45"/>
      <c r="I11" s="45"/>
      <c r="J11" s="45"/>
    </row>
    <row r="12" customFormat="false" ht="15" hidden="false" customHeight="false" outlineLevel="0" collapsed="false">
      <c r="A12" s="39" t="s">
        <v>90</v>
      </c>
      <c r="B12" s="40" t="s">
        <v>183</v>
      </c>
      <c r="C12" s="39" t="s">
        <v>75</v>
      </c>
      <c r="D12" s="42"/>
      <c r="E12" s="41"/>
      <c r="F12" s="42"/>
      <c r="G12" s="42"/>
      <c r="H12" s="42"/>
      <c r="I12" s="42"/>
      <c r="J12" s="42"/>
    </row>
    <row r="13" customFormat="false" ht="15.75" hidden="false" customHeight="true" outlineLevel="0" collapsed="false">
      <c r="A13" s="46" t="s">
        <v>184</v>
      </c>
      <c r="B13" s="46"/>
      <c r="C13" s="46"/>
      <c r="D13" s="46"/>
      <c r="E13" s="46"/>
      <c r="F13" s="46"/>
      <c r="G13" s="46"/>
      <c r="H13" s="46"/>
      <c r="I13" s="46"/>
      <c r="J13" s="46"/>
    </row>
    <row r="14" customFormat="false" ht="15" hidden="false" customHeight="false" outlineLevel="0" collapsed="false">
      <c r="A14" s="39" t="s">
        <v>94</v>
      </c>
      <c r="B14" s="40" t="s">
        <v>185</v>
      </c>
      <c r="C14" s="39" t="s">
        <v>75</v>
      </c>
      <c r="D14" s="42"/>
      <c r="E14" s="47"/>
      <c r="F14" s="47"/>
      <c r="G14" s="42"/>
      <c r="H14" s="42"/>
      <c r="I14" s="42"/>
      <c r="J14" s="42"/>
    </row>
    <row r="15" customFormat="false" ht="15" hidden="false" customHeight="false" outlineLevel="0" collapsed="false">
      <c r="A15" s="43" t="s">
        <v>102</v>
      </c>
      <c r="B15" s="44" t="s">
        <v>186</v>
      </c>
      <c r="C15" s="43" t="s">
        <v>75</v>
      </c>
      <c r="D15" s="45"/>
      <c r="E15" s="45"/>
      <c r="F15" s="47"/>
      <c r="G15" s="45"/>
      <c r="H15" s="45"/>
      <c r="I15" s="45"/>
      <c r="J15" s="45"/>
    </row>
    <row r="16" customFormat="false" ht="15" hidden="false" customHeight="false" outlineLevel="0" collapsed="false">
      <c r="A16" s="39" t="s">
        <v>105</v>
      </c>
      <c r="B16" s="40" t="s">
        <v>187</v>
      </c>
      <c r="C16" s="39" t="s">
        <v>68</v>
      </c>
      <c r="D16" s="42"/>
      <c r="E16" s="42"/>
      <c r="F16" s="47"/>
      <c r="G16" s="47"/>
      <c r="H16" s="42"/>
      <c r="I16" s="42"/>
      <c r="J16" s="42"/>
    </row>
    <row r="17" customFormat="false" ht="15" hidden="false" customHeight="false" outlineLevel="0" collapsed="false">
      <c r="A17" s="43" t="s">
        <v>109</v>
      </c>
      <c r="B17" s="44" t="s">
        <v>188</v>
      </c>
      <c r="C17" s="43" t="s">
        <v>75</v>
      </c>
      <c r="D17" s="45"/>
      <c r="E17" s="45"/>
      <c r="F17" s="47"/>
      <c r="G17" s="47"/>
      <c r="H17" s="45"/>
      <c r="I17" s="45"/>
      <c r="J17" s="45"/>
    </row>
    <row r="18" customFormat="false" ht="15" hidden="false" customHeight="false" outlineLevel="0" collapsed="false">
      <c r="A18" s="39" t="s">
        <v>112</v>
      </c>
      <c r="B18" s="40" t="s">
        <v>189</v>
      </c>
      <c r="C18" s="39" t="s">
        <v>68</v>
      </c>
      <c r="D18" s="42"/>
      <c r="E18" s="42"/>
      <c r="F18" s="42"/>
      <c r="G18" s="47"/>
      <c r="H18" s="42"/>
      <c r="I18" s="42"/>
      <c r="J18" s="42"/>
    </row>
    <row r="19" customFormat="false" ht="15" hidden="false" customHeight="false" outlineLevel="0" collapsed="false">
      <c r="A19" s="43" t="s">
        <v>115</v>
      </c>
      <c r="B19" s="44" t="s">
        <v>190</v>
      </c>
      <c r="C19" s="43" t="s">
        <v>75</v>
      </c>
      <c r="D19" s="45"/>
      <c r="E19" s="45"/>
      <c r="F19" s="45"/>
      <c r="G19" s="47"/>
      <c r="H19" s="45"/>
      <c r="I19" s="45"/>
      <c r="J19" s="45"/>
    </row>
    <row r="20" customFormat="false" ht="15" hidden="false" customHeight="false" outlineLevel="0" collapsed="false">
      <c r="A20" s="39" t="s">
        <v>118</v>
      </c>
      <c r="B20" s="40" t="s">
        <v>191</v>
      </c>
      <c r="C20" s="39" t="s">
        <v>68</v>
      </c>
      <c r="D20" s="42"/>
      <c r="E20" s="42"/>
      <c r="F20" s="42"/>
      <c r="G20" s="47"/>
      <c r="H20" s="42"/>
      <c r="I20" s="42"/>
      <c r="J20" s="42"/>
    </row>
    <row r="21" customFormat="false" ht="15.75" hidden="false" customHeight="true" outlineLevel="0" collapsed="false">
      <c r="A21" s="48" t="s">
        <v>192</v>
      </c>
      <c r="B21" s="48"/>
      <c r="C21" s="48"/>
      <c r="D21" s="48"/>
      <c r="E21" s="48"/>
      <c r="F21" s="48"/>
      <c r="G21" s="48"/>
      <c r="H21" s="48"/>
      <c r="I21" s="48"/>
      <c r="J21" s="48"/>
    </row>
    <row r="22" customFormat="false" ht="15" hidden="false" customHeight="false" outlineLevel="0" collapsed="false">
      <c r="A22" s="39" t="s">
        <v>122</v>
      </c>
      <c r="B22" s="40" t="s">
        <v>193</v>
      </c>
      <c r="C22" s="39" t="s">
        <v>75</v>
      </c>
      <c r="D22" s="42"/>
      <c r="E22" s="42"/>
      <c r="F22" s="42"/>
      <c r="G22" s="49"/>
      <c r="H22" s="42"/>
      <c r="I22" s="42"/>
      <c r="J22" s="42"/>
    </row>
    <row r="23" customFormat="false" ht="15" hidden="false" customHeight="false" outlineLevel="0" collapsed="false">
      <c r="A23" s="43" t="s">
        <v>126</v>
      </c>
      <c r="B23" s="44" t="s">
        <v>194</v>
      </c>
      <c r="C23" s="43" t="s">
        <v>68</v>
      </c>
      <c r="D23" s="45"/>
      <c r="E23" s="45"/>
      <c r="F23" s="45"/>
      <c r="G23" s="49"/>
      <c r="H23" s="45"/>
      <c r="I23" s="45"/>
      <c r="J23" s="45"/>
    </row>
    <row r="24" customFormat="false" ht="15" hidden="false" customHeight="false" outlineLevel="0" collapsed="false">
      <c r="A24" s="39" t="s">
        <v>129</v>
      </c>
      <c r="B24" s="40" t="s">
        <v>195</v>
      </c>
      <c r="C24" s="39" t="s">
        <v>75</v>
      </c>
      <c r="D24" s="42"/>
      <c r="E24" s="42"/>
      <c r="F24" s="42"/>
      <c r="G24" s="49"/>
      <c r="H24" s="49"/>
      <c r="I24" s="42"/>
      <c r="J24" s="42"/>
    </row>
    <row r="25" customFormat="false" ht="15" hidden="false" customHeight="false" outlineLevel="0" collapsed="false">
      <c r="A25" s="43" t="s">
        <v>132</v>
      </c>
      <c r="B25" s="44" t="s">
        <v>196</v>
      </c>
      <c r="C25" s="43" t="s">
        <v>68</v>
      </c>
      <c r="D25" s="45"/>
      <c r="E25" s="45"/>
      <c r="F25" s="45"/>
      <c r="G25" s="45"/>
      <c r="H25" s="49"/>
      <c r="I25" s="45"/>
      <c r="J25" s="45"/>
    </row>
    <row r="26" customFormat="false" ht="15" hidden="false" customHeight="false" outlineLevel="0" collapsed="false">
      <c r="A26" s="39" t="s">
        <v>135</v>
      </c>
      <c r="B26" s="40" t="s">
        <v>197</v>
      </c>
      <c r="C26" s="39" t="s">
        <v>62</v>
      </c>
      <c r="D26" s="42"/>
      <c r="E26" s="42"/>
      <c r="F26" s="42"/>
      <c r="G26" s="42"/>
      <c r="H26" s="49"/>
      <c r="I26" s="49"/>
      <c r="J26" s="42"/>
    </row>
    <row r="27" customFormat="false" ht="15" hidden="false" customHeight="false" outlineLevel="0" collapsed="false">
      <c r="A27" s="43" t="s">
        <v>138</v>
      </c>
      <c r="B27" s="44" t="s">
        <v>198</v>
      </c>
      <c r="C27" s="43" t="s">
        <v>68</v>
      </c>
      <c r="D27" s="45"/>
      <c r="E27" s="45"/>
      <c r="F27" s="45"/>
      <c r="G27" s="45"/>
      <c r="H27" s="45"/>
      <c r="I27" s="49"/>
      <c r="J27" s="45"/>
    </row>
    <row r="28" customFormat="false" ht="15" hidden="false" customHeight="false" outlineLevel="0" collapsed="false">
      <c r="A28" s="39" t="s">
        <v>141</v>
      </c>
      <c r="B28" s="40" t="s">
        <v>199</v>
      </c>
      <c r="C28" s="39" t="s">
        <v>75</v>
      </c>
      <c r="D28" s="42"/>
      <c r="E28" s="42"/>
      <c r="F28" s="42"/>
      <c r="G28" s="42"/>
      <c r="H28" s="42"/>
      <c r="I28" s="49"/>
      <c r="J28" s="42"/>
    </row>
    <row r="29" customFormat="false" ht="15.75" hidden="false" customHeight="true" outlineLevel="0" collapsed="false">
      <c r="A29" s="50" t="s">
        <v>200</v>
      </c>
      <c r="B29" s="50"/>
      <c r="C29" s="50"/>
      <c r="D29" s="50"/>
      <c r="E29" s="50"/>
      <c r="F29" s="50"/>
      <c r="G29" s="50"/>
      <c r="H29" s="50"/>
      <c r="I29" s="50"/>
      <c r="J29" s="50"/>
    </row>
    <row r="30" customFormat="false" ht="15" hidden="false" customHeight="false" outlineLevel="0" collapsed="false">
      <c r="A30" s="39" t="s">
        <v>145</v>
      </c>
      <c r="B30" s="40" t="s">
        <v>201</v>
      </c>
      <c r="C30" s="39" t="s">
        <v>68</v>
      </c>
      <c r="D30" s="42"/>
      <c r="E30" s="42"/>
      <c r="F30" s="42"/>
      <c r="G30" s="42"/>
      <c r="H30" s="42"/>
      <c r="I30" s="42"/>
      <c r="J30" s="51"/>
    </row>
    <row r="31" customFormat="false" ht="15" hidden="false" customHeight="false" outlineLevel="0" collapsed="false">
      <c r="A31" s="43" t="s">
        <v>149</v>
      </c>
      <c r="B31" s="44" t="s">
        <v>202</v>
      </c>
      <c r="C31" s="43" t="s">
        <v>75</v>
      </c>
      <c r="D31" s="45"/>
      <c r="E31" s="45"/>
      <c r="F31" s="45"/>
      <c r="G31" s="45"/>
      <c r="H31" s="45"/>
      <c r="I31" s="45"/>
      <c r="J31" s="51"/>
    </row>
    <row r="32" customFormat="false" ht="15" hidden="false" customHeight="false" outlineLevel="0" collapsed="false">
      <c r="A32" s="39" t="s">
        <v>152</v>
      </c>
      <c r="B32" s="40" t="s">
        <v>203</v>
      </c>
      <c r="C32" s="39" t="s">
        <v>75</v>
      </c>
      <c r="D32" s="42"/>
      <c r="E32" s="42"/>
      <c r="F32" s="42"/>
      <c r="G32" s="42"/>
      <c r="H32" s="42"/>
      <c r="I32" s="42"/>
      <c r="J32" s="51"/>
    </row>
    <row r="33" customFormat="false" ht="15" hidden="false" customHeight="false" outlineLevel="0" collapsed="false">
      <c r="A33" s="43" t="s">
        <v>155</v>
      </c>
      <c r="B33" s="44" t="s">
        <v>157</v>
      </c>
      <c r="C33" s="43" t="s">
        <v>68</v>
      </c>
      <c r="D33" s="45"/>
      <c r="E33" s="45"/>
      <c r="F33" s="45"/>
      <c r="G33" s="45"/>
      <c r="H33" s="45"/>
      <c r="I33" s="45"/>
      <c r="J33" s="51"/>
    </row>
    <row r="34" customFormat="false" ht="15" hidden="false" customHeight="false" outlineLevel="0" collapsed="false">
      <c r="A34" s="39" t="s">
        <v>158</v>
      </c>
      <c r="B34" s="40" t="s">
        <v>204</v>
      </c>
      <c r="C34" s="39" t="s">
        <v>75</v>
      </c>
      <c r="D34" s="42"/>
      <c r="E34" s="42"/>
      <c r="F34" s="42"/>
      <c r="G34" s="42"/>
      <c r="H34" s="42"/>
      <c r="I34" s="42"/>
      <c r="J34" s="51"/>
    </row>
    <row r="35" customFormat="false" ht="15" hidden="false" customHeight="false" outlineLevel="0" collapsed="false">
      <c r="A35" s="43" t="s">
        <v>161</v>
      </c>
      <c r="B35" s="44" t="s">
        <v>205</v>
      </c>
      <c r="C35" s="43" t="s">
        <v>62</v>
      </c>
      <c r="D35" s="45"/>
      <c r="E35" s="45"/>
      <c r="F35" s="45"/>
      <c r="G35" s="45"/>
      <c r="H35" s="45"/>
      <c r="I35" s="45"/>
      <c r="J35" s="51"/>
    </row>
    <row r="37" customFormat="false" ht="15" hidden="false" customHeight="false" outlineLevel="0" collapsed="false">
      <c r="B37" s="52" t="s">
        <v>206</v>
      </c>
      <c r="C37" s="53" t="s">
        <v>207</v>
      </c>
      <c r="D37" s="54" t="s">
        <v>208</v>
      </c>
      <c r="E37" s="55" t="s">
        <v>209</v>
      </c>
      <c r="F37" s="56" t="s">
        <v>210</v>
      </c>
    </row>
  </sheetData>
  <mergeCells count="5">
    <mergeCell ref="A1:J1"/>
    <mergeCell ref="A3:J3"/>
    <mergeCell ref="A13:J13"/>
    <mergeCell ref="A21:J21"/>
    <mergeCell ref="A29:J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40"/>
    <col collapsed="false" customWidth="true" hidden="false" outlineLevel="0" max="5" min="5" style="0" width="14"/>
  </cols>
  <sheetData>
    <row r="1" customFormat="false" ht="25.5" hidden="false" customHeight="true" outlineLevel="0" collapsed="false">
      <c r="A1" s="16" t="s">
        <v>211</v>
      </c>
      <c r="B1" s="16"/>
      <c r="C1" s="16"/>
      <c r="D1" s="16"/>
      <c r="E1" s="16"/>
    </row>
    <row r="2" customFormat="false" ht="15" hidden="false" customHeight="false" outlineLevel="0" collapsed="false">
      <c r="A2" s="57" t="s">
        <v>212</v>
      </c>
      <c r="B2" s="57" t="s">
        <v>213</v>
      </c>
      <c r="C2" s="57" t="s">
        <v>214</v>
      </c>
      <c r="D2" s="57" t="s">
        <v>215</v>
      </c>
      <c r="E2" s="57" t="s">
        <v>57</v>
      </c>
    </row>
    <row r="3" customFormat="false" ht="30" hidden="false" customHeight="true" outlineLevel="0" collapsed="false">
      <c r="A3" s="58" t="n">
        <v>1</v>
      </c>
      <c r="B3" s="59" t="s">
        <v>216</v>
      </c>
      <c r="C3" s="58" t="s">
        <v>217</v>
      </c>
      <c r="D3" s="60" t="s">
        <v>218</v>
      </c>
      <c r="E3" s="23" t="s">
        <v>219</v>
      </c>
    </row>
    <row r="4" customFormat="false" ht="30" hidden="false" customHeight="true" outlineLevel="0" collapsed="false">
      <c r="A4" s="24" t="n">
        <v>2</v>
      </c>
      <c r="B4" s="61" t="s">
        <v>220</v>
      </c>
      <c r="C4" s="24" t="s">
        <v>221</v>
      </c>
      <c r="D4" s="26" t="s">
        <v>222</v>
      </c>
      <c r="E4" s="23" t="s">
        <v>219</v>
      </c>
    </row>
    <row r="5" customFormat="false" ht="30" hidden="false" customHeight="true" outlineLevel="0" collapsed="false">
      <c r="A5" s="58" t="n">
        <v>3</v>
      </c>
      <c r="B5" s="59" t="s">
        <v>223</v>
      </c>
      <c r="C5" s="58" t="s">
        <v>224</v>
      </c>
      <c r="D5" s="60" t="s">
        <v>225</v>
      </c>
      <c r="E5" s="23" t="s">
        <v>219</v>
      </c>
    </row>
    <row r="6" customFormat="false" ht="30" hidden="false" customHeight="true" outlineLevel="0" collapsed="false">
      <c r="A6" s="24" t="n">
        <v>4</v>
      </c>
      <c r="B6" s="61" t="s">
        <v>226</v>
      </c>
      <c r="C6" s="24" t="s">
        <v>227</v>
      </c>
      <c r="D6" s="26" t="s">
        <v>228</v>
      </c>
      <c r="E6" s="23" t="s">
        <v>219</v>
      </c>
    </row>
    <row r="7" customFormat="false" ht="30" hidden="false" customHeight="true" outlineLevel="0" collapsed="false">
      <c r="A7" s="58" t="n">
        <v>5</v>
      </c>
      <c r="B7" s="59" t="s">
        <v>229</v>
      </c>
      <c r="C7" s="58" t="s">
        <v>227</v>
      </c>
      <c r="D7" s="60" t="s">
        <v>230</v>
      </c>
      <c r="E7" s="23" t="s">
        <v>219</v>
      </c>
    </row>
    <row r="8" customFormat="false" ht="30" hidden="false" customHeight="true" outlineLevel="0" collapsed="false">
      <c r="A8" s="24" t="n">
        <v>6</v>
      </c>
      <c r="B8" s="61" t="s">
        <v>231</v>
      </c>
      <c r="C8" s="24" t="s">
        <v>232</v>
      </c>
      <c r="D8" s="26" t="s">
        <v>233</v>
      </c>
      <c r="E8" s="23" t="s">
        <v>219</v>
      </c>
    </row>
    <row r="9" customFormat="false" ht="30" hidden="false" customHeight="true" outlineLevel="0" collapsed="false">
      <c r="A9" s="58" t="n">
        <v>7</v>
      </c>
      <c r="B9" s="59" t="s">
        <v>234</v>
      </c>
      <c r="C9" s="58" t="s">
        <v>232</v>
      </c>
      <c r="D9" s="60" t="s">
        <v>235</v>
      </c>
      <c r="E9" s="23" t="s">
        <v>219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46"/>
    <col collapsed="false" customWidth="true" hidden="false" outlineLevel="0" max="4" min="4" style="0" width="16"/>
  </cols>
  <sheetData>
    <row r="1" customFormat="false" ht="24" hidden="false" customHeight="true" outlineLevel="0" collapsed="false">
      <c r="A1" s="62" t="s">
        <v>236</v>
      </c>
      <c r="B1" s="62"/>
      <c r="C1" s="62"/>
      <c r="D1" s="62"/>
    </row>
    <row r="2" customFormat="false" ht="15" hidden="false" customHeight="false" outlineLevel="0" collapsed="false">
      <c r="A2" s="17" t="s">
        <v>212</v>
      </c>
      <c r="B2" s="17" t="s">
        <v>237</v>
      </c>
      <c r="C2" s="17" t="s">
        <v>238</v>
      </c>
      <c r="D2" s="17" t="s">
        <v>239</v>
      </c>
    </row>
    <row r="3" customFormat="false" ht="30" hidden="false" customHeight="true" outlineLevel="0" collapsed="false">
      <c r="A3" s="19" t="n">
        <v>1</v>
      </c>
      <c r="B3" s="63" t="s">
        <v>240</v>
      </c>
      <c r="C3" s="21" t="s">
        <v>241</v>
      </c>
      <c r="D3" s="64" t="s">
        <v>242</v>
      </c>
    </row>
    <row r="4" customFormat="false" ht="30" hidden="false" customHeight="true" outlineLevel="0" collapsed="false">
      <c r="A4" s="24" t="n">
        <v>2</v>
      </c>
      <c r="B4" s="61" t="s">
        <v>243</v>
      </c>
      <c r="C4" s="26" t="s">
        <v>244</v>
      </c>
      <c r="D4" s="65" t="s">
        <v>242</v>
      </c>
    </row>
    <row r="5" customFormat="false" ht="30" hidden="false" customHeight="true" outlineLevel="0" collapsed="false">
      <c r="A5" s="19" t="n">
        <v>3</v>
      </c>
      <c r="B5" s="63" t="s">
        <v>245</v>
      </c>
      <c r="C5" s="21" t="s">
        <v>246</v>
      </c>
      <c r="D5" s="64" t="s">
        <v>242</v>
      </c>
    </row>
    <row r="6" customFormat="false" ht="30" hidden="false" customHeight="true" outlineLevel="0" collapsed="false">
      <c r="A6" s="24" t="n">
        <v>4</v>
      </c>
      <c r="B6" s="61" t="s">
        <v>247</v>
      </c>
      <c r="C6" s="26" t="s">
        <v>248</v>
      </c>
      <c r="D6" s="66" t="s">
        <v>249</v>
      </c>
    </row>
    <row r="7" customFormat="false" ht="30" hidden="false" customHeight="true" outlineLevel="0" collapsed="false">
      <c r="A7" s="19" t="n">
        <v>5</v>
      </c>
      <c r="B7" s="63" t="s">
        <v>250</v>
      </c>
      <c r="C7" s="21" t="s">
        <v>251</v>
      </c>
      <c r="D7" s="64" t="s">
        <v>242</v>
      </c>
    </row>
    <row r="8" customFormat="false" ht="30" hidden="false" customHeight="true" outlineLevel="0" collapsed="false">
      <c r="A8" s="24" t="n">
        <v>6</v>
      </c>
      <c r="B8" s="61" t="s">
        <v>215</v>
      </c>
      <c r="C8" s="26" t="s">
        <v>252</v>
      </c>
      <c r="D8" s="65" t="s">
        <v>242</v>
      </c>
    </row>
    <row r="9" customFormat="false" ht="30" hidden="false" customHeight="true" outlineLevel="0" collapsed="false">
      <c r="A9" s="19" t="n">
        <v>7</v>
      </c>
      <c r="B9" s="63" t="s">
        <v>253</v>
      </c>
      <c r="C9" s="21" t="s">
        <v>254</v>
      </c>
      <c r="D9" s="67" t="s">
        <v>249</v>
      </c>
    </row>
    <row r="10" customFormat="false" ht="30" hidden="false" customHeight="true" outlineLevel="0" collapsed="false">
      <c r="A10" s="24" t="n">
        <v>8</v>
      </c>
      <c r="B10" s="61" t="s">
        <v>255</v>
      </c>
      <c r="C10" s="26" t="s">
        <v>256</v>
      </c>
      <c r="D10" s="66" t="s">
        <v>249</v>
      </c>
    </row>
    <row r="11" customFormat="false" ht="30" hidden="false" customHeight="true" outlineLevel="0" collapsed="false">
      <c r="A11" s="19" t="n">
        <v>9</v>
      </c>
      <c r="B11" s="63" t="s">
        <v>257</v>
      </c>
      <c r="C11" s="21" t="s">
        <v>258</v>
      </c>
      <c r="D11" s="64" t="s">
        <v>242</v>
      </c>
    </row>
    <row r="12" customFormat="false" ht="30" hidden="false" customHeight="true" outlineLevel="0" collapsed="false">
      <c r="A12" s="24" t="n">
        <v>10</v>
      </c>
      <c r="B12" s="61" t="s">
        <v>259</v>
      </c>
      <c r="C12" s="26" t="s">
        <v>260</v>
      </c>
      <c r="D12" s="66" t="s">
        <v>249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2026-06-05T05:56:27Z</dcterms:created>
  <dc:creator>openpyxl</dc:creator>
  <dc:description/>
  <dc:language>en-US</dc:language>
  <cp:lastModifiedBy/>
  <dcterms:modified xsi:type="dcterms:W3CDTF">2026-06-05T05:56:28Z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